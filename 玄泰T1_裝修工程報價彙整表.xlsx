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彙整明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-"/>
    <numFmt numFmtId="165" formatCode="NT$#,##0;(NT$#,##0);-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b val="1"/>
      <sz val="11"/>
    </font>
    <font>
      <name val="Arial"/>
    </font>
    <font>
      <name val="Arial"/>
      <b val="1"/>
    </font>
    <font>
      <name val="Arial"/>
      <i val="1"/>
      <sz val="9"/>
    </font>
    <font>
      <name val="Arial"/>
      <color rgb="000000FF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vertical="top" wrapText="1"/>
    </xf>
    <xf numFmtId="164" fontId="5" fillId="0" borderId="1" pivotButton="0" quotePrefix="0" xfId="0"/>
    <xf numFmtId="165" fontId="5" fillId="0" borderId="1" pivotButton="0" quotePrefix="0" xfId="0"/>
    <xf numFmtId="0" fontId="0" fillId="4" borderId="1" pivotButton="0" quotePrefix="0" xfId="0"/>
    <xf numFmtId="0" fontId="6" fillId="4" borderId="1" applyAlignment="1" pivotButton="0" quotePrefix="0" xfId="0">
      <alignment horizontal="right"/>
    </xf>
    <xf numFmtId="165" fontId="6" fillId="4" borderId="1" pivotButton="0" quotePrefix="0" xfId="0"/>
    <xf numFmtId="0" fontId="7" fillId="4" borderId="1" pivotButton="0" quotePrefix="0" xfId="0"/>
    <xf numFmtId="0" fontId="6" fillId="0" borderId="1" applyAlignment="1" pivotButton="0" quotePrefix="0" xfId="0">
      <alignment horizontal="right"/>
    </xf>
    <xf numFmtId="165" fontId="6" fillId="0" borderId="1" pivotButton="0" quotePrefix="0" xfId="0"/>
    <xf numFmtId="0" fontId="7" fillId="0" borderId="1" pivotButton="0" quotePrefix="0" xfId="0"/>
    <xf numFmtId="165" fontId="6" fillId="5" borderId="1" pivotButton="0" quotePrefix="0" xfId="0"/>
    <xf numFmtId="0" fontId="7" fillId="0" borderId="0" pivotButton="0" quotePrefix="0" xfId="0"/>
    <xf numFmtId="0" fontId="5" fillId="0" borderId="1" applyAlignment="1" pivotButton="0" quotePrefix="0" xfId="0">
      <alignment horizontal="right"/>
    </xf>
    <xf numFmtId="165" fontId="8" fillId="5" borderId="1" pivotButton="0" quotePrefix="0" xfId="0"/>
    <xf numFmtId="165" fontId="8" fillId="0" borderId="1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6" customWidth="1" min="3" max="3"/>
    <col width="40" customWidth="1" min="4" max="4"/>
    <col width="8" customWidth="1" min="5" max="5"/>
    <col width="8" customWidth="1" min="6" max="6"/>
    <col width="10" customWidth="1" min="7" max="7"/>
    <col width="12" customWidth="1" min="8" max="8"/>
    <col width="30" customWidth="1" min="9" max="9"/>
  </cols>
  <sheetData>
    <row r="1" ht="24" customHeight="1">
      <c r="A1" s="1" t="inlineStr">
        <is>
          <t>玄泰T1（B3-10F）裝修工程報價彙整表</t>
        </is>
      </c>
    </row>
    <row r="2">
      <c r="A2" s="2" t="inlineStr">
        <is>
          <t>資料來源：4份原始估價 Excel 檔案彙整（來源檔名詳見各區塊標題列）</t>
        </is>
      </c>
    </row>
    <row r="4">
      <c r="A4" s="3" t="inlineStr">
        <is>
          <t>來源檔案</t>
        </is>
      </c>
      <c r="B4" s="3" t="inlineStr">
        <is>
          <t>分類</t>
        </is>
      </c>
      <c r="C4" s="3" t="inlineStr">
        <is>
          <t>項次</t>
        </is>
      </c>
      <c r="D4" s="3" t="inlineStr">
        <is>
          <t>品項/施工內容</t>
        </is>
      </c>
      <c r="E4" s="3" t="inlineStr">
        <is>
          <t>單位</t>
        </is>
      </c>
      <c r="F4" s="3" t="inlineStr">
        <is>
          <t>數量</t>
        </is>
      </c>
      <c r="G4" s="3" t="inlineStr">
        <is>
          <t>單價</t>
        </is>
      </c>
      <c r="H4" s="3" t="inlineStr">
        <is>
          <t>金額</t>
        </is>
      </c>
      <c r="I4" s="3" t="inlineStr">
        <is>
          <t>備註</t>
        </is>
      </c>
    </row>
    <row r="5">
      <c r="A5" s="4" t="inlineStr">
        <is>
          <t>來源檔案：21acca4f_惠如_玄太T1_B3-10F_估價單.xlsx （藝宅空間設計 估價單－總表，日期115/08/30，負責人：黃志強）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n"/>
      <c r="B6" s="6" t="inlineStr">
        <is>
          <t>基礎工程</t>
        </is>
      </c>
      <c r="C6" s="6" t="n"/>
      <c r="D6" s="7" t="inlineStr">
        <is>
          <t>基礎工程（保護/裝潢/水電/消防/油漆/清潔，明細見下方區塊2）</t>
        </is>
      </c>
      <c r="E6" s="6" t="inlineStr">
        <is>
          <t>式</t>
        </is>
      </c>
      <c r="F6" s="8" t="n">
        <v>1</v>
      </c>
      <c r="G6" s="9" t="n">
        <v>293550</v>
      </c>
      <c r="H6" s="9" t="n">
        <v>293550</v>
      </c>
      <c r="I6" s="6" t="inlineStr"/>
    </row>
    <row r="7">
      <c r="A7" s="6" t="n"/>
      <c r="B7" s="6" t="inlineStr">
        <is>
          <t>系統櫃工程</t>
        </is>
      </c>
      <c r="C7" s="6" t="n"/>
      <c r="D7" s="7" t="inlineStr">
        <is>
          <t>系統櫃工程（木作/系統櫃/水電/油漆，明細見下方區塊3）</t>
        </is>
      </c>
      <c r="E7" s="6" t="inlineStr">
        <is>
          <t>式</t>
        </is>
      </c>
      <c r="F7" s="8" t="n">
        <v>1</v>
      </c>
      <c r="G7" s="9" t="n">
        <v>196500</v>
      </c>
      <c r="H7" s="9" t="n">
        <v>196500</v>
      </c>
      <c r="I7" s="6" t="inlineStr"/>
    </row>
    <row r="8">
      <c r="A8" s="6" t="n"/>
      <c r="B8" s="6" t="inlineStr">
        <is>
          <t>地板工程</t>
        </is>
      </c>
      <c r="C8" s="6" t="n"/>
      <c r="D8" s="7" t="inlineStr">
        <is>
          <t>地板工程</t>
        </is>
      </c>
      <c r="E8" s="6" t="inlineStr">
        <is>
          <t>式</t>
        </is>
      </c>
      <c r="F8" s="8" t="n">
        <v>1</v>
      </c>
      <c r="G8" s="9" t="n"/>
      <c r="H8" s="9" t="n"/>
      <c r="I8" s="6" t="inlineStr">
        <is>
          <t>單價未定，尚未報價</t>
        </is>
      </c>
    </row>
    <row r="9">
      <c r="A9" s="6" t="n"/>
      <c r="B9" s="6" t="inlineStr">
        <is>
          <t>追加減工程</t>
        </is>
      </c>
      <c r="C9" s="6" t="n"/>
      <c r="D9" s="7" t="inlineStr">
        <is>
          <t>追加減工程</t>
        </is>
      </c>
      <c r="E9" s="6" t="inlineStr">
        <is>
          <t>式</t>
        </is>
      </c>
      <c r="F9" s="8" t="n">
        <v>1</v>
      </c>
      <c r="G9" s="9" t="n"/>
      <c r="H9" s="9" t="n"/>
      <c r="I9" s="6" t="inlineStr">
        <is>
          <t>施工中如有增減項目另計</t>
        </is>
      </c>
    </row>
    <row r="10">
      <c r="A10" s="10" t="n"/>
      <c r="B10" s="11" t="inlineStr">
        <is>
          <t>工程分項合計</t>
        </is>
      </c>
      <c r="C10" s="10" t="n"/>
      <c r="D10" s="10" t="n"/>
      <c r="E10" s="10" t="n"/>
      <c r="F10" s="10" t="n"/>
      <c r="G10" s="10" t="n"/>
      <c r="H10" s="12">
        <f>H6+H7+H8+H9</f>
        <v/>
      </c>
      <c r="I10" s="13" t="inlineStr"/>
    </row>
    <row r="11">
      <c r="A11" s="5" t="n"/>
      <c r="B11" s="14" t="inlineStr">
        <is>
          <t>工程管理／稅金 5%</t>
        </is>
      </c>
      <c r="C11" s="5" t="n"/>
      <c r="D11" s="5" t="n"/>
      <c r="E11" s="5" t="n"/>
      <c r="F11" s="5" t="n"/>
      <c r="G11" s="5" t="n"/>
      <c r="H11" s="15">
        <f>ROUND(H10*0.05,0)</f>
        <v/>
      </c>
      <c r="I11" s="16" t="inlineStr">
        <is>
          <t>＝上方合計 × 5%</t>
        </is>
      </c>
    </row>
    <row r="12">
      <c r="A12" s="5" t="n"/>
      <c r="B12" s="14" t="inlineStr">
        <is>
          <t>總金額（含稅）</t>
        </is>
      </c>
      <c r="C12" s="5" t="n"/>
      <c r="D12" s="5" t="n"/>
      <c r="E12" s="5" t="n"/>
      <c r="F12" s="5" t="n"/>
      <c r="G12" s="5" t="n"/>
      <c r="H12" s="17">
        <f>H10+H11</f>
        <v/>
      </c>
      <c r="I12" s="16" t="inlineStr">
        <is>
          <t>＝合計 ＋ 工程管理稅金</t>
        </is>
      </c>
    </row>
    <row r="14">
      <c r="B14" s="18" t="inlineStr">
        <is>
          <t>付款分期：一20,000／二210,000／三210,000／四74,553（合計514,553）</t>
        </is>
      </c>
    </row>
    <row r="16">
      <c r="A16" s="4" t="inlineStr">
        <is>
          <t>來源檔案：193f8e20_惠如_玄太T1_B3-10F_基礎工程_估價單.xlsx （基礎工程明細，對應區塊1之「基礎工程」293,550，日期115/08/30）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6" t="n"/>
      <c r="B17" s="6" t="inlineStr">
        <is>
          <t>保護工程</t>
        </is>
      </c>
      <c r="C17" s="6" t="n">
        <v>1</v>
      </c>
      <c r="D17" s="7" t="inlineStr">
        <is>
          <t>公設、電梯、走道保護</t>
        </is>
      </c>
      <c r="E17" s="6" t="inlineStr">
        <is>
          <t>坪</t>
        </is>
      </c>
      <c r="F17" s="8" t="n">
        <v>1</v>
      </c>
      <c r="G17" s="9" t="n">
        <v>800</v>
      </c>
      <c r="H17" s="9" t="n"/>
      <c r="I17" s="6" t="inlineStr">
        <is>
          <t>金額欄原始留白，未列入合計</t>
        </is>
      </c>
    </row>
    <row r="18">
      <c r="A18" s="6" t="n"/>
      <c r="B18" s="6" t="inlineStr">
        <is>
          <t>保護工程</t>
        </is>
      </c>
      <c r="C18" s="6" t="n">
        <v>2</v>
      </c>
      <c r="D18" s="7" t="inlineStr">
        <is>
          <t>室內保護腳踏墊</t>
        </is>
      </c>
      <c r="E18" s="6" t="inlineStr">
        <is>
          <t>坪</t>
        </is>
      </c>
      <c r="F18" s="8" t="n">
        <v>12</v>
      </c>
      <c r="G18" s="9" t="n">
        <v>600</v>
      </c>
      <c r="H18" s="9" t="n">
        <v>7200</v>
      </c>
      <c r="I18" s="6" t="inlineStr"/>
    </row>
    <row r="19">
      <c r="A19" s="6" t="n"/>
      <c r="B19" s="6" t="inlineStr">
        <is>
          <t>保護工程</t>
        </is>
      </c>
      <c r="C19" s="6" t="n">
        <v>3</v>
      </c>
      <c r="D19" s="7" t="inlineStr">
        <is>
          <t>門框保護</t>
        </is>
      </c>
      <c r="E19" s="6" t="inlineStr">
        <is>
          <t>組</t>
        </is>
      </c>
      <c r="F19" s="8" t="n">
        <v>1</v>
      </c>
      <c r="G19" s="9" t="n">
        <v>600</v>
      </c>
      <c r="H19" s="9" t="n">
        <v>600</v>
      </c>
      <c r="I19" s="6" t="inlineStr"/>
    </row>
    <row r="20">
      <c r="A20" s="6" t="n"/>
      <c r="B20" s="6" t="inlineStr">
        <is>
          <t>保護工程</t>
        </is>
      </c>
      <c r="C20" s="6" t="n">
        <v>4</v>
      </c>
      <c r="D20" s="7" t="inlineStr">
        <is>
          <t>門片保護</t>
        </is>
      </c>
      <c r="E20" s="6" t="inlineStr">
        <is>
          <t>片</t>
        </is>
      </c>
      <c r="F20" s="8" t="n">
        <v>1</v>
      </c>
      <c r="G20" s="9" t="n">
        <v>600</v>
      </c>
      <c r="H20" s="9" t="n">
        <v>600</v>
      </c>
      <c r="I20" s="6" t="inlineStr"/>
    </row>
    <row r="21">
      <c r="A21" s="6" t="n"/>
      <c r="B21" s="6" t="inlineStr">
        <is>
          <t>保護工程</t>
        </is>
      </c>
      <c r="C21" s="6" t="n">
        <v>5</v>
      </c>
      <c r="D21" s="7" t="inlineStr">
        <is>
          <t>廚具保護</t>
        </is>
      </c>
      <c r="E21" s="6" t="inlineStr">
        <is>
          <t>式</t>
        </is>
      </c>
      <c r="F21" s="8" t="n">
        <v>1</v>
      </c>
      <c r="G21" s="9" t="n">
        <v>1000</v>
      </c>
      <c r="H21" s="9" t="n">
        <v>1000</v>
      </c>
      <c r="I21" s="6" t="inlineStr"/>
    </row>
    <row r="22">
      <c r="A22" s="10" t="n"/>
      <c r="B22" s="11" t="inlineStr">
        <is>
          <t>保護工程 小計</t>
        </is>
      </c>
      <c r="C22" s="10" t="n"/>
      <c r="D22" s="10" t="n"/>
      <c r="E22" s="10" t="n"/>
      <c r="F22" s="10" t="n"/>
      <c r="G22" s="10" t="n"/>
      <c r="H22" s="12">
        <f>H17+H18+H19+H20+H21</f>
        <v/>
      </c>
      <c r="I22" s="13" t="inlineStr"/>
    </row>
    <row r="23">
      <c r="A23" s="6" t="n"/>
      <c r="B23" s="6" t="inlineStr">
        <is>
          <t>裝潢工程</t>
        </is>
      </c>
      <c r="C23" s="6" t="n">
        <v>1</v>
      </c>
      <c r="D23" s="7" t="inlineStr">
        <is>
          <t>全室平釘天花板(KD吋2角材/台灣矽酸鈣板6MM)</t>
        </is>
      </c>
      <c r="E23" s="6" t="inlineStr">
        <is>
          <t>坪</t>
        </is>
      </c>
      <c r="F23" s="8" t="n">
        <v>12</v>
      </c>
      <c r="G23" s="9" t="n">
        <v>3300</v>
      </c>
      <c r="H23" s="9" t="n">
        <v>39600</v>
      </c>
      <c r="I23" s="6" t="inlineStr"/>
    </row>
    <row r="24">
      <c r="A24" s="6" t="n"/>
      <c r="B24" s="6" t="inlineStr">
        <is>
          <t>裝潢工程</t>
        </is>
      </c>
      <c r="C24" s="6" t="n">
        <v>2</v>
      </c>
      <c r="D24" s="7" t="inlineStr">
        <is>
          <t>主臥窗簾盒+冷氣盒+包樑(一體成形)</t>
        </is>
      </c>
      <c r="E24" s="6" t="inlineStr">
        <is>
          <t>尺</t>
        </is>
      </c>
      <c r="F24" s="8" t="n">
        <v>9</v>
      </c>
      <c r="G24" s="9" t="n">
        <v>700</v>
      </c>
      <c r="H24" s="9" t="n">
        <v>6300</v>
      </c>
      <c r="I24" s="6" t="inlineStr"/>
    </row>
    <row r="25">
      <c r="A25" s="6" t="n"/>
      <c r="B25" s="6" t="inlineStr">
        <is>
          <t>裝潢工程</t>
        </is>
      </c>
      <c r="C25" s="6" t="n">
        <v>3</v>
      </c>
      <c r="D25" s="7" t="inlineStr">
        <is>
          <t>次臥窗簾盒+冷氣盒+包樑(一體成形)</t>
        </is>
      </c>
      <c r="E25" s="6" t="inlineStr">
        <is>
          <t>尺</t>
        </is>
      </c>
      <c r="F25" s="8" t="n">
        <v>8</v>
      </c>
      <c r="G25" s="9" t="n">
        <v>700</v>
      </c>
      <c r="H25" s="9" t="n">
        <v>5600</v>
      </c>
      <c r="I25" s="6" t="inlineStr"/>
    </row>
    <row r="26">
      <c r="A26" s="6" t="n"/>
      <c r="B26" s="6" t="inlineStr">
        <is>
          <t>裝潢工程</t>
        </is>
      </c>
      <c r="C26" s="6" t="n">
        <v>4</v>
      </c>
      <c r="D26" s="7" t="inlineStr">
        <is>
          <t>主臥+次臥隔間內含隔音棉(KD吋8角材/台灣矽酸鈣板6MM)</t>
        </is>
      </c>
      <c r="E26" s="6" t="inlineStr">
        <is>
          <t>尺</t>
        </is>
      </c>
      <c r="F26" s="8" t="n">
        <v>25</v>
      </c>
      <c r="G26" s="9" t="n">
        <v>1800</v>
      </c>
      <c r="H26" s="9" t="n">
        <v>45000</v>
      </c>
      <c r="I26" s="6" t="inlineStr"/>
    </row>
    <row r="27">
      <c r="A27" s="6" t="n"/>
      <c r="B27" s="6" t="inlineStr">
        <is>
          <t>裝潢工程</t>
        </is>
      </c>
      <c r="C27" s="6" t="n">
        <v>5</v>
      </c>
      <c r="D27" s="7" t="inlineStr">
        <is>
          <t>主臥門+框(顏色自選)含五金配件</t>
        </is>
      </c>
      <c r="E27" s="6" t="inlineStr">
        <is>
          <t>樘</t>
        </is>
      </c>
      <c r="F27" s="8" t="n">
        <v>1</v>
      </c>
      <c r="G27" s="9" t="n">
        <v>18000</v>
      </c>
      <c r="H27" s="9" t="n">
        <v>18000</v>
      </c>
      <c r="I27" s="6" t="inlineStr"/>
    </row>
    <row r="28">
      <c r="A28" s="6" t="n"/>
      <c r="B28" s="6" t="inlineStr">
        <is>
          <t>裝潢工程</t>
        </is>
      </c>
      <c r="C28" s="6" t="n">
        <v>6</v>
      </c>
      <c r="D28" s="7" t="inlineStr">
        <is>
          <t>次臥拉門(顏色自選)含五金配件</t>
        </is>
      </c>
      <c r="E28" s="6" t="inlineStr">
        <is>
          <t>樘</t>
        </is>
      </c>
      <c r="F28" s="8" t="n">
        <v>1</v>
      </c>
      <c r="G28" s="9" t="n">
        <v>18000</v>
      </c>
      <c r="H28" s="9" t="n">
        <v>18000</v>
      </c>
      <c r="I28" s="6" t="inlineStr"/>
    </row>
    <row r="29">
      <c r="A29" s="6" t="n"/>
      <c r="B29" s="6" t="inlineStr">
        <is>
          <t>裝潢工程</t>
        </is>
      </c>
      <c r="C29" s="6" t="n">
        <v>7</v>
      </c>
      <c r="D29" s="7" t="inlineStr">
        <is>
          <t>電視牆粗胚打底/含貓道及電視牆被板加強</t>
        </is>
      </c>
      <c r="E29" s="6" t="inlineStr">
        <is>
          <t>尺</t>
        </is>
      </c>
      <c r="F29" s="8" t="n">
        <v>8</v>
      </c>
      <c r="G29" s="9" t="n">
        <v>1000</v>
      </c>
      <c r="H29" s="9" t="n">
        <v>8000</v>
      </c>
      <c r="I29" s="6" t="inlineStr"/>
    </row>
    <row r="30">
      <c r="A30" s="6" t="n"/>
      <c r="B30" s="6" t="inlineStr">
        <is>
          <t>裝潢工程</t>
        </is>
      </c>
      <c r="C30" s="6" t="n">
        <v>8</v>
      </c>
      <c r="D30" s="7" t="inlineStr">
        <is>
          <t>電視牆面貼防大理石板(5mm)</t>
        </is>
      </c>
      <c r="E30" s="6" t="inlineStr">
        <is>
          <t>尺</t>
        </is>
      </c>
      <c r="F30" s="8" t="n">
        <v>8</v>
      </c>
      <c r="G30" s="9" t="n">
        <v>1500</v>
      </c>
      <c r="H30" s="9" t="n">
        <v>12000</v>
      </c>
      <c r="I30" s="6" t="inlineStr"/>
    </row>
    <row r="31">
      <c r="A31" s="10" t="n"/>
      <c r="B31" s="11" t="inlineStr">
        <is>
          <t>裝潢工程 小計</t>
        </is>
      </c>
      <c r="C31" s="10" t="n"/>
      <c r="D31" s="10" t="n"/>
      <c r="E31" s="10" t="n"/>
      <c r="F31" s="10" t="n"/>
      <c r="G31" s="10" t="n"/>
      <c r="H31" s="12">
        <f>H23+H24+H25+H26+H27+H28+H29+H30</f>
        <v/>
      </c>
      <c r="I31" s="13" t="inlineStr"/>
    </row>
    <row r="32">
      <c r="A32" s="6" t="n"/>
      <c r="B32" s="6" t="inlineStr">
        <is>
          <t>水電工程</t>
        </is>
      </c>
      <c r="C32" s="6" t="n">
        <v>1</v>
      </c>
      <c r="D32" s="7" t="inlineStr">
        <is>
          <t>主臥*4/次臥*1/客廳*4/餐廳*4 舞光15cm崁燈(拉線/挖洞/安裝)</t>
        </is>
      </c>
      <c r="E32" s="6" t="inlineStr">
        <is>
          <t>組</t>
        </is>
      </c>
      <c r="F32" s="8" t="n">
        <v>13</v>
      </c>
      <c r="G32" s="9" t="n">
        <v>1200</v>
      </c>
      <c r="H32" s="9" t="n">
        <v>15600</v>
      </c>
      <c r="I32" s="6" t="inlineStr"/>
    </row>
    <row r="33">
      <c r="A33" s="6" t="n"/>
      <c r="B33" s="6" t="inlineStr">
        <is>
          <t>水電工程</t>
        </is>
      </c>
      <c r="C33" s="6" t="n">
        <v>2</v>
      </c>
      <c r="D33" s="7" t="inlineStr">
        <is>
          <t>客廳電子控制器</t>
        </is>
      </c>
      <c r="E33" s="6" t="inlineStr">
        <is>
          <t>組</t>
        </is>
      </c>
      <c r="F33" s="8" t="n">
        <v>2</v>
      </c>
      <c r="G33" s="9" t="n">
        <v>1000</v>
      </c>
      <c r="H33" s="9" t="n">
        <v>2000</v>
      </c>
      <c r="I33" s="6" t="inlineStr"/>
    </row>
    <row r="34">
      <c r="A34" s="10" t="n"/>
      <c r="B34" s="11" t="inlineStr">
        <is>
          <t>水電工程 小計</t>
        </is>
      </c>
      <c r="C34" s="10" t="n"/>
      <c r="D34" s="10" t="n"/>
      <c r="E34" s="10" t="n"/>
      <c r="F34" s="10" t="n"/>
      <c r="G34" s="10" t="n"/>
      <c r="H34" s="12">
        <f>H32+H33</f>
        <v/>
      </c>
      <c r="I34" s="13" t="inlineStr"/>
    </row>
    <row r="35">
      <c r="A35" s="6" t="n"/>
      <c r="B35" s="6" t="inlineStr">
        <is>
          <t>消防工程</t>
        </is>
      </c>
      <c r="C35" s="6" t="n">
        <v>1</v>
      </c>
      <c r="D35" s="7" t="inlineStr">
        <is>
          <t>消防感知器下移延伸</t>
        </is>
      </c>
      <c r="E35" s="6" t="inlineStr">
        <is>
          <t>組</t>
        </is>
      </c>
      <c r="F35" s="8" t="n">
        <v>4</v>
      </c>
      <c r="G35" s="9" t="n">
        <v>500</v>
      </c>
      <c r="H35" s="9" t="n">
        <v>2000</v>
      </c>
      <c r="I35" s="6" t="inlineStr"/>
    </row>
    <row r="36">
      <c r="A36" s="6" t="n"/>
      <c r="B36" s="6" t="inlineStr">
        <is>
          <t>消防工程</t>
        </is>
      </c>
      <c r="C36" s="6" t="n">
        <v>2</v>
      </c>
      <c r="D36" s="7" t="inlineStr">
        <is>
          <t>消防管修改</t>
        </is>
      </c>
      <c r="E36" s="6" t="inlineStr">
        <is>
          <t>組</t>
        </is>
      </c>
      <c r="F36" s="8" t="n">
        <v>6</v>
      </c>
      <c r="G36" s="9" t="n">
        <v>2000</v>
      </c>
      <c r="H36" s="9" t="n">
        <v>12000</v>
      </c>
      <c r="I36" s="6" t="inlineStr"/>
    </row>
    <row r="37">
      <c r="A37" s="10" t="n"/>
      <c r="B37" s="11" t="inlineStr">
        <is>
          <t>消防工程 小計</t>
        </is>
      </c>
      <c r="C37" s="10" t="n"/>
      <c r="D37" s="10" t="n"/>
      <c r="E37" s="10" t="n"/>
      <c r="F37" s="10" t="n"/>
      <c r="G37" s="10" t="n"/>
      <c r="H37" s="12">
        <f>H35+H36</f>
        <v/>
      </c>
      <c r="I37" s="13" t="inlineStr"/>
    </row>
    <row r="38">
      <c r="A38" s="6" t="n"/>
      <c r="B38" s="6" t="inlineStr">
        <is>
          <t>油漆工程</t>
        </is>
      </c>
      <c r="C38" s="6" t="n">
        <v>1</v>
      </c>
      <c r="D38" s="7" t="inlineStr">
        <is>
          <t>主臥木作隔間油漆(AB膠/批土/研磨/1底2面，虹牌全效乳膠漆)</t>
        </is>
      </c>
      <c r="E38" s="6" t="inlineStr">
        <is>
          <t>坪</t>
        </is>
      </c>
      <c r="F38" s="8" t="n">
        <v>13</v>
      </c>
      <c r="G38" s="9" t="n">
        <v>1600</v>
      </c>
      <c r="H38" s="9" t="n">
        <v>20800</v>
      </c>
      <c r="I38" s="6" t="inlineStr"/>
    </row>
    <row r="39">
      <c r="A39" s="6" t="n"/>
      <c r="B39" s="6" t="inlineStr">
        <is>
          <t>油漆工程</t>
        </is>
      </c>
      <c r="C39" s="6" t="n">
        <v>2</v>
      </c>
      <c r="D39" s="7" t="inlineStr">
        <is>
          <t>全室天花板木作油漆(同上工法，虹牌全效乳膠漆)</t>
        </is>
      </c>
      <c r="E39" s="6" t="inlineStr">
        <is>
          <t>坪</t>
        </is>
      </c>
      <c r="F39" s="8" t="n">
        <v>12</v>
      </c>
      <c r="G39" s="9" t="n">
        <v>1600</v>
      </c>
      <c r="H39" s="9" t="n">
        <v>19200</v>
      </c>
      <c r="I39" s="6" t="inlineStr"/>
    </row>
    <row r="40">
      <c r="A40" s="6" t="n"/>
      <c r="B40" s="6" t="inlineStr">
        <is>
          <t>油漆工程</t>
        </is>
      </c>
      <c r="C40" s="6" t="n">
        <v>3</v>
      </c>
      <c r="D40" s="7" t="inlineStr">
        <is>
          <t>窗簾盒/冷氣盒/包樑油漆(同上工法，虹牌全效乳膠漆)</t>
        </is>
      </c>
      <c r="E40" s="6" t="inlineStr">
        <is>
          <t>尺</t>
        </is>
      </c>
      <c r="F40" s="8" t="n">
        <v>17</v>
      </c>
      <c r="G40" s="9" t="n">
        <v>250</v>
      </c>
      <c r="H40" s="9" t="n">
        <v>4250</v>
      </c>
      <c r="I40" s="6" t="inlineStr"/>
    </row>
    <row r="41">
      <c r="A41" s="6" t="n"/>
      <c r="B41" s="6" t="inlineStr">
        <is>
          <t>油漆工程</t>
        </is>
      </c>
      <c r="C41" s="6" t="n">
        <v>4</v>
      </c>
      <c r="D41" s="7" t="inlineStr">
        <is>
          <t>全室踢腳板拆除+清運+補土+油漆</t>
        </is>
      </c>
      <c r="E41" s="6" t="inlineStr">
        <is>
          <t>式</t>
        </is>
      </c>
      <c r="F41" s="8" t="n"/>
      <c r="G41" s="9" t="n">
        <v>10000</v>
      </c>
      <c r="H41" s="9" t="n"/>
      <c r="I41" s="6" t="inlineStr">
        <is>
          <t>金額欄原始留白，未列入合計</t>
        </is>
      </c>
    </row>
    <row r="42">
      <c r="A42" s="6" t="n"/>
      <c r="B42" s="6" t="inlineStr">
        <is>
          <t>油漆工程</t>
        </is>
      </c>
      <c r="C42" s="6" t="n">
        <v>5</v>
      </c>
      <c r="D42" s="7" t="inlineStr">
        <is>
          <t>全室牆壁油漆1底1面(虹牌全效乳膠漆)</t>
        </is>
      </c>
      <c r="E42" s="6" t="inlineStr">
        <is>
          <t>坪</t>
        </is>
      </c>
      <c r="F42" s="8" t="n">
        <v>36</v>
      </c>
      <c r="G42" s="9" t="n">
        <v>800</v>
      </c>
      <c r="H42" s="9" t="n">
        <v>28800</v>
      </c>
      <c r="I42" s="6" t="inlineStr"/>
    </row>
    <row r="43">
      <c r="A43" s="6" t="n"/>
      <c r="B43" s="6" t="inlineStr">
        <is>
          <t>油漆工程</t>
        </is>
      </c>
      <c r="C43" s="6" t="n">
        <v>6</v>
      </c>
      <c r="D43" s="7" t="inlineStr">
        <is>
          <t>跳色</t>
        </is>
      </c>
      <c r="E43" s="6" t="inlineStr">
        <is>
          <t>面</t>
        </is>
      </c>
      <c r="F43" s="8" t="n"/>
      <c r="G43" s="9" t="n">
        <v>6000</v>
      </c>
      <c r="H43" s="9" t="n"/>
      <c r="I43" s="6" t="inlineStr">
        <is>
          <t>依實際跳色面數計價，單價6,000/面，未列入合計</t>
        </is>
      </c>
    </row>
    <row r="44">
      <c r="A44" s="6" t="n"/>
      <c r="B44" s="6" t="inlineStr">
        <is>
          <t>油漆工程</t>
        </is>
      </c>
      <c r="C44" s="6" t="n">
        <v>7</v>
      </c>
      <c r="D44" s="7" t="inlineStr">
        <is>
          <t>施工後全室局部髒污處補漆(不含批土)</t>
        </is>
      </c>
      <c r="E44" s="6" t="inlineStr">
        <is>
          <t>式</t>
        </is>
      </c>
      <c r="F44" s="8" t="n">
        <v>1</v>
      </c>
      <c r="G44" s="9" t="n">
        <v>15000</v>
      </c>
      <c r="H44" s="9" t="n"/>
      <c r="I44" s="6" t="inlineStr">
        <is>
          <t>金額欄原始留白，未列入合計</t>
        </is>
      </c>
    </row>
    <row r="45">
      <c r="A45" s="10" t="n"/>
      <c r="B45" s="11" t="inlineStr">
        <is>
          <t>油漆工程 小計</t>
        </is>
      </c>
      <c r="C45" s="10" t="n"/>
      <c r="D45" s="10" t="n"/>
      <c r="E45" s="10" t="n"/>
      <c r="F45" s="10" t="n"/>
      <c r="G45" s="10" t="n"/>
      <c r="H45" s="12">
        <f>H38+H39+H40+H41+H42+H43+H44</f>
        <v/>
      </c>
      <c r="I45" s="13" t="inlineStr"/>
    </row>
    <row r="46">
      <c r="A46" s="6" t="n"/>
      <c r="B46" s="6" t="inlineStr">
        <is>
          <t>清潔工程</t>
        </is>
      </c>
      <c r="C46" s="6" t="n">
        <v>1</v>
      </c>
      <c r="D46" s="7" t="inlineStr">
        <is>
          <t>裝潢後細清</t>
        </is>
      </c>
      <c r="E46" s="6" t="inlineStr">
        <is>
          <t>式</t>
        </is>
      </c>
      <c r="F46" s="8" t="n">
        <v>1</v>
      </c>
      <c r="G46" s="9" t="n">
        <v>15000</v>
      </c>
      <c r="H46" s="9" t="n">
        <v>15000</v>
      </c>
      <c r="I46" s="6" t="inlineStr"/>
    </row>
    <row r="47">
      <c r="A47" s="6" t="n"/>
      <c r="B47" s="6" t="inlineStr">
        <is>
          <t>清潔工程</t>
        </is>
      </c>
      <c r="C47" s="6" t="n">
        <v>2</v>
      </c>
      <c r="D47" s="7" t="inlineStr">
        <is>
          <t>垃圾清運</t>
        </is>
      </c>
      <c r="E47" s="6" t="inlineStr">
        <is>
          <t>車</t>
        </is>
      </c>
      <c r="F47" s="8" t="n">
        <v>1</v>
      </c>
      <c r="G47" s="9" t="n">
        <v>12000</v>
      </c>
      <c r="H47" s="9" t="n">
        <v>12000</v>
      </c>
      <c r="I47" s="6" t="inlineStr"/>
    </row>
    <row r="48">
      <c r="A48" s="10" t="n"/>
      <c r="B48" s="11" t="inlineStr">
        <is>
          <t>清潔工程 小計</t>
        </is>
      </c>
      <c r="C48" s="10" t="n"/>
      <c r="D48" s="10" t="n"/>
      <c r="E48" s="10" t="n"/>
      <c r="F48" s="10" t="n"/>
      <c r="G48" s="10" t="n"/>
      <c r="H48" s="12">
        <f>H46+H47</f>
        <v/>
      </c>
      <c r="I48" s="13" t="inlineStr"/>
    </row>
    <row r="49">
      <c r="A49" s="5" t="n"/>
      <c r="B49" s="19" t="inlineStr">
        <is>
          <t>本區塊加總核對</t>
        </is>
      </c>
      <c r="C49" s="5" t="n"/>
      <c r="D49" s="5" t="n"/>
      <c r="E49" s="5" t="n"/>
      <c r="F49" s="5" t="n"/>
      <c r="G49" s="5" t="n"/>
      <c r="H49" s="9">
        <f>H22+H31+H34+H37+H45+H48</f>
        <v/>
      </c>
      <c r="I49" s="16" t="inlineStr">
        <is>
          <t>各小計加總，應等於下方原檔標示金額</t>
        </is>
      </c>
    </row>
    <row r="50">
      <c r="A50" s="5" t="n"/>
      <c r="B50" s="14" t="inlineStr">
        <is>
          <t>金額總計（原檔標示）</t>
        </is>
      </c>
      <c r="C50" s="5" t="n"/>
      <c r="D50" s="5" t="n"/>
      <c r="E50" s="5" t="n"/>
      <c r="F50" s="5" t="n"/>
      <c r="G50" s="5" t="n"/>
      <c r="H50" s="20" t="n">
        <v>293550</v>
      </c>
      <c r="I50" s="16" t="inlineStr">
        <is>
          <t>與區塊1「基礎工程」293,550一致</t>
        </is>
      </c>
    </row>
    <row r="52">
      <c r="A52" s="4" t="inlineStr">
        <is>
          <t>來源檔案：8dc91379_惠如_玄太T1_B3-10F_系統櫃工程_估價單.xlsx （系統櫃工程明細，對應區塊1之「系統櫃工程」196,500，日期115/08/30）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6" t="n"/>
      <c r="B53" s="6" t="inlineStr">
        <is>
          <t>木作工程</t>
        </is>
      </c>
      <c r="C53" s="6" t="n">
        <v>1</v>
      </c>
      <c r="D53" s="7" t="inlineStr">
        <is>
          <t>主臥室衣櫃包梁</t>
        </is>
      </c>
      <c r="E53" s="6" t="inlineStr">
        <is>
          <t>尺</t>
        </is>
      </c>
      <c r="F53" s="8" t="n">
        <v>6</v>
      </c>
      <c r="G53" s="9" t="n">
        <v>700</v>
      </c>
      <c r="H53" s="9" t="n"/>
      <c r="I53" s="6" t="inlineStr">
        <is>
          <t>金額欄原始留白，未列入合計</t>
        </is>
      </c>
    </row>
    <row r="54">
      <c r="A54" s="6" t="n"/>
      <c r="B54" s="6" t="inlineStr">
        <is>
          <t>木作工程</t>
        </is>
      </c>
      <c r="C54" s="6" t="n">
        <v>2</v>
      </c>
      <c r="D54" s="7" t="inlineStr">
        <is>
          <t>次臥室衣櫃包梁</t>
        </is>
      </c>
      <c r="E54" s="6" t="inlineStr">
        <is>
          <t>尺</t>
        </is>
      </c>
      <c r="F54" s="8" t="n">
        <v>6</v>
      </c>
      <c r="G54" s="9" t="n">
        <v>700</v>
      </c>
      <c r="H54" s="9" t="n"/>
      <c r="I54" s="6" t="inlineStr">
        <is>
          <t>金額欄原始留白，未列入合計</t>
        </is>
      </c>
    </row>
    <row r="55">
      <c r="A55" s="10" t="n"/>
      <c r="B55" s="11" t="inlineStr">
        <is>
          <t>木作工程 小計</t>
        </is>
      </c>
      <c r="C55" s="10" t="n"/>
      <c r="D55" s="10" t="n"/>
      <c r="E55" s="10" t="n"/>
      <c r="F55" s="10" t="n"/>
      <c r="G55" s="10" t="n"/>
      <c r="H55" s="12">
        <f>H53+H54</f>
        <v/>
      </c>
      <c r="I55" s="13" t="inlineStr"/>
    </row>
    <row r="56">
      <c r="A56" s="6" t="n"/>
      <c r="B56" s="6" t="inlineStr">
        <is>
          <t>系統櫃工程</t>
        </is>
      </c>
      <c r="C56" s="6" t="n">
        <v>1</v>
      </c>
      <c r="D56" s="7" t="inlineStr">
        <is>
          <t>鞋櫃 L60*W35*H240</t>
        </is>
      </c>
      <c r="E56" s="6" t="inlineStr">
        <is>
          <t>尺</t>
        </is>
      </c>
      <c r="F56" s="8" t="n">
        <v>2</v>
      </c>
      <c r="G56" s="9" t="n">
        <v>6500</v>
      </c>
      <c r="H56" s="9" t="n">
        <v>13000</v>
      </c>
      <c r="I56" s="6" t="inlineStr"/>
    </row>
    <row r="57">
      <c r="A57" s="6" t="n"/>
      <c r="B57" s="6" t="inlineStr">
        <is>
          <t>系統櫃工程</t>
        </is>
      </c>
      <c r="C57" s="6" t="n">
        <v>2</v>
      </c>
      <c r="D57" s="7" t="inlineStr">
        <is>
          <t>電視櫃 L240*W38*H45</t>
        </is>
      </c>
      <c r="E57" s="6" t="inlineStr">
        <is>
          <t>尺</t>
        </is>
      </c>
      <c r="F57" s="8" t="n">
        <v>8</v>
      </c>
      <c r="G57" s="9" t="n">
        <v>3500</v>
      </c>
      <c r="H57" s="9" t="n">
        <v>28000</v>
      </c>
      <c r="I57" s="6" t="inlineStr"/>
    </row>
    <row r="58">
      <c r="A58" s="6" t="n"/>
      <c r="B58" s="6" t="inlineStr">
        <is>
          <t>系統櫃工程</t>
        </is>
      </c>
      <c r="C58" s="6" t="n">
        <v>3</v>
      </c>
      <c r="D58" s="7" t="inlineStr">
        <is>
          <t>餐邊櫃(含上下方雙開門片) L240*W40*H240</t>
        </is>
      </c>
      <c r="E58" s="6" t="inlineStr">
        <is>
          <t>尺</t>
        </is>
      </c>
      <c r="F58" s="8" t="n">
        <v>8</v>
      </c>
      <c r="G58" s="9" t="n">
        <v>6500</v>
      </c>
      <c r="H58" s="9" t="n">
        <v>52000</v>
      </c>
      <c r="I58" s="6" t="inlineStr"/>
    </row>
    <row r="59">
      <c r="A59" s="6" t="n"/>
      <c r="B59" s="6" t="inlineStr">
        <is>
          <t>系統櫃工程</t>
        </is>
      </c>
      <c r="C59" s="6" t="n">
        <v>4</v>
      </c>
      <c r="D59" s="7" t="inlineStr">
        <is>
          <t>主臥室衣櫃 L240*W65*H240</t>
        </is>
      </c>
      <c r="E59" s="6" t="inlineStr">
        <is>
          <t>尺</t>
        </is>
      </c>
      <c r="F59" s="8" t="n">
        <v>5</v>
      </c>
      <c r="G59" s="9" t="n">
        <v>7500</v>
      </c>
      <c r="H59" s="9" t="n">
        <v>37500</v>
      </c>
      <c r="I59" s="6" t="inlineStr"/>
    </row>
    <row r="60">
      <c r="A60" s="6" t="n"/>
      <c r="B60" s="6" t="inlineStr">
        <is>
          <t>系統櫃工程</t>
        </is>
      </c>
      <c r="C60" s="6" t="n">
        <v>5</v>
      </c>
      <c r="D60" s="7" t="inlineStr">
        <is>
          <t>主臥書桌 L90*W50*H25</t>
        </is>
      </c>
      <c r="E60" s="6" t="inlineStr">
        <is>
          <t>尺</t>
        </is>
      </c>
      <c r="F60" s="8" t="n">
        <v>3</v>
      </c>
      <c r="G60" s="9" t="n">
        <v>3500</v>
      </c>
      <c r="H60" s="9" t="n">
        <v>10500</v>
      </c>
      <c r="I60" s="6" t="inlineStr"/>
    </row>
    <row r="61">
      <c r="A61" s="6" t="n"/>
      <c r="B61" s="6" t="inlineStr">
        <is>
          <t>系統櫃工程</t>
        </is>
      </c>
      <c r="C61" s="6" t="n">
        <v>6</v>
      </c>
      <c r="D61" s="7" t="inlineStr">
        <is>
          <t>次臥衣櫃 L150*W65*H240</t>
        </is>
      </c>
      <c r="E61" s="6" t="inlineStr">
        <is>
          <t>尺</t>
        </is>
      </c>
      <c r="F61" s="8" t="n">
        <v>5</v>
      </c>
      <c r="G61" s="9" t="n">
        <v>7500</v>
      </c>
      <c r="H61" s="9" t="n">
        <v>37500</v>
      </c>
      <c r="I61" s="6" t="inlineStr"/>
    </row>
    <row r="62">
      <c r="A62" s="6" t="n"/>
      <c r="B62" s="6" t="inlineStr">
        <is>
          <t>系統櫃工程</t>
        </is>
      </c>
      <c r="C62" s="6" t="n">
        <v>7</v>
      </c>
      <c r="D62" s="7" t="inlineStr">
        <is>
          <t>客廳落地窗旁邊櫃子 L80*W30*H240</t>
        </is>
      </c>
      <c r="E62" s="6" t="inlineStr">
        <is>
          <t>尺</t>
        </is>
      </c>
      <c r="F62" s="8" t="n">
        <v>3</v>
      </c>
      <c r="G62" s="9" t="n">
        <v>6000</v>
      </c>
      <c r="H62" s="9" t="n">
        <v>18000</v>
      </c>
      <c r="I62" s="6" t="inlineStr"/>
    </row>
    <row r="63">
      <c r="A63" s="10" t="n"/>
      <c r="B63" s="11" t="inlineStr">
        <is>
          <t>系統櫃工程 小計</t>
        </is>
      </c>
      <c r="C63" s="10" t="n"/>
      <c r="D63" s="10" t="n"/>
      <c r="E63" s="10" t="n"/>
      <c r="F63" s="10" t="n"/>
      <c r="G63" s="10" t="n"/>
      <c r="H63" s="12">
        <f>H56+H57+H58+H59+H60+H61+H62</f>
        <v/>
      </c>
      <c r="I63" s="13" t="inlineStr"/>
    </row>
    <row r="64">
      <c r="A64" s="6" t="n"/>
      <c r="B64" s="6" t="inlineStr">
        <is>
          <t>水電工程</t>
        </is>
      </c>
      <c r="C64" s="6" t="n">
        <v>1</v>
      </c>
      <c r="D64" s="7" t="inlineStr">
        <is>
          <t>新增延長插座/網路/電視 太平洋單芯線2.0</t>
        </is>
      </c>
      <c r="E64" s="6" t="inlineStr">
        <is>
          <t>組</t>
        </is>
      </c>
      <c r="F64" s="8" t="n">
        <v>4</v>
      </c>
      <c r="G64" s="9" t="n">
        <v>1200</v>
      </c>
      <c r="H64" s="9" t="n"/>
      <c r="I64" s="6" t="inlineStr">
        <is>
          <t>金額欄原始留白，未列入合計</t>
        </is>
      </c>
    </row>
    <row r="65">
      <c r="A65" s="6" t="n"/>
      <c r="B65" s="6" t="inlineStr">
        <is>
          <t>水電工程</t>
        </is>
      </c>
      <c r="C65" s="6" t="n">
        <v>2</v>
      </c>
      <c r="D65" s="7" t="inlineStr">
        <is>
          <t>新增開關 太平洋單芯線2.0</t>
        </is>
      </c>
      <c r="E65" s="6" t="inlineStr">
        <is>
          <t>組</t>
        </is>
      </c>
      <c r="F65" s="8" t="n"/>
      <c r="G65" s="9" t="n">
        <v>1200</v>
      </c>
      <c r="H65" s="9" t="n"/>
      <c r="I65" s="6" t="inlineStr">
        <is>
          <t>數量未定，金額原始為0</t>
        </is>
      </c>
    </row>
    <row r="66">
      <c r="A66" s="6" t="n"/>
      <c r="B66" s="6" t="inlineStr">
        <is>
          <t>水電工程</t>
        </is>
      </c>
      <c r="C66" s="6" t="n">
        <v>3</v>
      </c>
      <c r="D66" s="7" t="inlineStr">
        <is>
          <t>崁燈線路 太平洋單芯線2.0</t>
        </is>
      </c>
      <c r="E66" s="6" t="inlineStr">
        <is>
          <t>組</t>
        </is>
      </c>
      <c r="F66" s="8" t="n"/>
      <c r="G66" s="9" t="n">
        <v>800</v>
      </c>
      <c r="H66" s="9" t="n"/>
      <c r="I66" s="6" t="inlineStr">
        <is>
          <t>數量未定，金額原始為0</t>
        </is>
      </c>
    </row>
    <row r="67">
      <c r="A67" s="6" t="n"/>
      <c r="B67" s="6" t="inlineStr">
        <is>
          <t>水電工程</t>
        </is>
      </c>
      <c r="C67" s="6" t="n">
        <v>4</v>
      </c>
      <c r="D67" s="7" t="inlineStr">
        <is>
          <t>崁燈/挖洞/安裝(白光/黃光/自然光)</t>
        </is>
      </c>
      <c r="E67" s="6" t="inlineStr">
        <is>
          <t>組</t>
        </is>
      </c>
      <c r="F67" s="8" t="n"/>
      <c r="G67" s="9" t="n">
        <v>400</v>
      </c>
      <c r="H67" s="9" t="n"/>
      <c r="I67" s="6" t="inlineStr">
        <is>
          <t>數量未定，金額原始為0</t>
        </is>
      </c>
    </row>
    <row r="68">
      <c r="A68" s="10" t="n"/>
      <c r="B68" s="11" t="inlineStr">
        <is>
          <t>水電工程 小計</t>
        </is>
      </c>
      <c r="C68" s="10" t="n"/>
      <c r="D68" s="10" t="n"/>
      <c r="E68" s="10" t="n"/>
      <c r="F68" s="10" t="n"/>
      <c r="G68" s="10" t="n"/>
      <c r="H68" s="12">
        <f>H64+H65+H66+H67</f>
        <v/>
      </c>
      <c r="I68" s="13" t="inlineStr"/>
    </row>
    <row r="69">
      <c r="A69" s="6" t="n"/>
      <c r="B69" s="6" t="inlineStr">
        <is>
          <t>油漆工程</t>
        </is>
      </c>
      <c r="C69" s="6" t="n">
        <v>1</v>
      </c>
      <c r="D69" s="7" t="inlineStr">
        <is>
          <t>包樑油漆(AB膠/接縫批土/透批/研磨/1底2面)</t>
        </is>
      </c>
      <c r="E69" s="6" t="inlineStr">
        <is>
          <t>尺</t>
        </is>
      </c>
      <c r="F69" s="8" t="n">
        <v>12</v>
      </c>
      <c r="G69" s="9" t="n">
        <v>250</v>
      </c>
      <c r="H69" s="9" t="n"/>
      <c r="I69" s="6" t="inlineStr">
        <is>
          <t>金額欄原始留白，未列入合計</t>
        </is>
      </c>
    </row>
    <row r="70">
      <c r="A70" s="10" t="n"/>
      <c r="B70" s="11" t="inlineStr">
        <is>
          <t>油漆工程 小計</t>
        </is>
      </c>
      <c r="C70" s="10" t="n"/>
      <c r="D70" s="10" t="n"/>
      <c r="E70" s="10" t="n"/>
      <c r="F70" s="10" t="n"/>
      <c r="G70" s="10" t="n"/>
      <c r="H70" s="12">
        <f>H69</f>
        <v/>
      </c>
      <c r="I70" s="13" t="inlineStr"/>
    </row>
    <row r="71">
      <c r="A71" s="5" t="n"/>
      <c r="B71" s="19" t="inlineStr">
        <is>
          <t>本區塊加總核對</t>
        </is>
      </c>
      <c r="C71" s="5" t="n"/>
      <c r="D71" s="5" t="n"/>
      <c r="E71" s="5" t="n"/>
      <c r="F71" s="5" t="n"/>
      <c r="G71" s="5" t="n"/>
      <c r="H71" s="9">
        <f>H55+H63+H68+H70</f>
        <v/>
      </c>
      <c r="I71" s="16" t="inlineStr">
        <is>
          <t>各小計加總，應等於下方原檔標示金額</t>
        </is>
      </c>
    </row>
    <row r="72">
      <c r="A72" s="5" t="n"/>
      <c r="B72" s="14" t="inlineStr">
        <is>
          <t>金額總計（原檔標示）</t>
        </is>
      </c>
      <c r="C72" s="5" t="n"/>
      <c r="D72" s="5" t="n"/>
      <c r="E72" s="5" t="n"/>
      <c r="F72" s="5" t="n"/>
      <c r="G72" s="5" t="n"/>
      <c r="H72" s="20" t="n">
        <v>196500</v>
      </c>
      <c r="I72" s="16" t="inlineStr">
        <is>
          <t>與區塊1「系統櫃工程」196,500一致</t>
        </is>
      </c>
    </row>
    <row r="74">
      <c r="A74" s="4" t="inlineStr">
        <is>
          <t>來源檔案：f974431d_A7玄泰T1_工程預算表.xlsx （另一份獨立工程預算表，業主：蕙如小姐，案名：A7玄泰T1，施工地址：桃園市龜山區樂善二路345號10樓，日期115年9月3日）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</row>
    <row r="75">
      <c r="A75" s="6" t="n"/>
      <c r="B75" s="6" t="inlineStr">
        <is>
          <t>一、保護工程</t>
        </is>
      </c>
      <c r="C75" s="6" t="n">
        <v>1</v>
      </c>
      <c r="D75" s="7" t="inlineStr">
        <is>
          <t>公共+室內保護工程</t>
        </is>
      </c>
      <c r="E75" s="6" t="inlineStr">
        <is>
          <t>式</t>
        </is>
      </c>
      <c r="F75" s="8" t="n">
        <v>1</v>
      </c>
      <c r="G75" s="9" t="n">
        <v>12000</v>
      </c>
      <c r="H75" s="9" t="n">
        <v>12000</v>
      </c>
      <c r="I75" s="6" t="inlineStr">
        <is>
          <t>pp+1分甲板/依管委規定追加減</t>
        </is>
      </c>
    </row>
    <row r="76">
      <c r="A76" s="6" t="n"/>
      <c r="B76" s="6" t="inlineStr">
        <is>
          <t>一、清潔工程</t>
        </is>
      </c>
      <c r="C76" s="6" t="n">
        <v>2</v>
      </c>
      <c r="D76" s="7" t="inlineStr">
        <is>
          <t>工程廢棄物清運/保護拆除</t>
        </is>
      </c>
      <c r="E76" s="6" t="inlineStr">
        <is>
          <t>車</t>
        </is>
      </c>
      <c r="F76" s="8" t="n">
        <v>1</v>
      </c>
      <c r="G76" s="9" t="n">
        <v>12000</v>
      </c>
      <c r="H76" s="9" t="n">
        <v>12000</v>
      </c>
      <c r="I76" s="6" t="inlineStr"/>
    </row>
    <row r="77">
      <c r="A77" s="6" t="n"/>
      <c r="B77" s="6" t="inlineStr">
        <is>
          <t>一、清潔工程</t>
        </is>
      </c>
      <c r="C77" s="6" t="n">
        <v>3</v>
      </c>
      <c r="D77" s="7" t="inlineStr"/>
      <c r="E77" s="6" t="inlineStr"/>
      <c r="F77" s="8" t="n"/>
      <c r="G77" s="9" t="n"/>
      <c r="H77" s="9" t="n"/>
      <c r="I77" s="6" t="inlineStr"/>
    </row>
    <row r="78">
      <c r="A78" s="6" t="n"/>
      <c r="B78" s="6" t="inlineStr">
        <is>
          <t>一、清潔工程</t>
        </is>
      </c>
      <c r="C78" s="6" t="n">
        <v>4</v>
      </c>
      <c r="D78" s="7" t="inlineStr"/>
      <c r="E78" s="6" t="inlineStr"/>
      <c r="F78" s="8" t="n"/>
      <c r="G78" s="9" t="n"/>
      <c r="H78" s="9" t="n"/>
      <c r="I78" s="6" t="inlineStr">
        <is>
          <t>原始備註欄誤植18000，金額欄仍為0</t>
        </is>
      </c>
    </row>
    <row r="79">
      <c r="A79" s="6" t="n"/>
      <c r="B79" s="6" t="inlineStr">
        <is>
          <t>一、清潔工程</t>
        </is>
      </c>
      <c r="C79" s="6" t="n">
        <v>5</v>
      </c>
      <c r="D79" s="7" t="inlineStr"/>
      <c r="E79" s="6" t="inlineStr"/>
      <c r="F79" s="8" t="n"/>
      <c r="G79" s="9" t="n"/>
      <c r="H79" s="9" t="n"/>
      <c r="I79" s="6" t="inlineStr"/>
    </row>
    <row r="80">
      <c r="A80" s="10" t="n"/>
      <c r="B80" s="11" t="inlineStr">
        <is>
          <t>保護工程＋清潔工程 小計</t>
        </is>
      </c>
      <c r="C80" s="10" t="n"/>
      <c r="D80" s="10" t="n"/>
      <c r="E80" s="10" t="n"/>
      <c r="F80" s="10" t="n"/>
      <c r="G80" s="10" t="n"/>
      <c r="H80" s="12">
        <f>H75+H76+H77+H78+H79</f>
        <v/>
      </c>
      <c r="I80" s="13" t="inlineStr">
        <is>
          <t>原檔將兩類別合併列示一個小計</t>
        </is>
      </c>
    </row>
    <row r="81">
      <c r="A81" s="6" t="n"/>
      <c r="B81" s="6" t="inlineStr">
        <is>
          <t>二、水電工程</t>
        </is>
      </c>
      <c r="C81" s="6" t="n">
        <v>1</v>
      </c>
      <c r="D81" s="7" t="inlineStr">
        <is>
          <t>天花板佈線太平洋單蕊1.6/2.0mm</t>
        </is>
      </c>
      <c r="E81" s="6" t="inlineStr">
        <is>
          <t>坪</t>
        </is>
      </c>
      <c r="F81" s="8" t="n">
        <v>13</v>
      </c>
      <c r="G81" s="9" t="n">
        <v>800</v>
      </c>
      <c r="H81" s="9" t="n">
        <v>10400</v>
      </c>
      <c r="I81" s="6" t="inlineStr"/>
    </row>
    <row r="82">
      <c r="A82" s="6" t="n"/>
      <c r="B82" s="6" t="inlineStr">
        <is>
          <t>二、水電工程</t>
        </is>
      </c>
      <c r="C82" s="6" t="n">
        <v>2</v>
      </c>
      <c r="D82" s="7" t="inlineStr">
        <is>
          <t>餐廳櫃專用迴路110v2.0mm</t>
        </is>
      </c>
      <c r="E82" s="6" t="inlineStr">
        <is>
          <t>迴</t>
        </is>
      </c>
      <c r="F82" s="8" t="n">
        <v>1</v>
      </c>
      <c r="G82" s="9" t="n">
        <v>4500</v>
      </c>
      <c r="H82" s="9" t="n">
        <v>4500</v>
      </c>
      <c r="I82" s="6" t="inlineStr"/>
    </row>
    <row r="83">
      <c r="A83" s="6" t="n"/>
      <c r="B83" s="6" t="inlineStr">
        <is>
          <t>二、水電工程</t>
        </is>
      </c>
      <c r="C83" s="6" t="n">
        <v>3</v>
      </c>
      <c r="D83" s="7" t="inlineStr">
        <is>
          <t>德國歐司朗可調光崁燈9~12cm</t>
        </is>
      </c>
      <c r="E83" s="6" t="inlineStr">
        <is>
          <t>盞</t>
        </is>
      </c>
      <c r="F83" s="8" t="n">
        <v>17</v>
      </c>
      <c r="G83" s="9" t="n">
        <v>800</v>
      </c>
      <c r="H83" s="9" t="n">
        <v>13600</v>
      </c>
      <c r="I83" s="6" t="inlineStr">
        <is>
          <t>分區迴路開關依需求另計</t>
        </is>
      </c>
    </row>
    <row r="84">
      <c r="A84" s="6" t="n"/>
      <c r="B84" s="6" t="inlineStr">
        <is>
          <t>二、水電工程</t>
        </is>
      </c>
      <c r="C84" s="6" t="n">
        <v>4</v>
      </c>
      <c r="D84" s="7" t="inlineStr">
        <is>
          <t>插座延伸隔間牆+櫃體110v</t>
        </is>
      </c>
      <c r="E84" s="6" t="inlineStr">
        <is>
          <t>處</t>
        </is>
      </c>
      <c r="F84" s="8" t="n">
        <v>10</v>
      </c>
      <c r="G84" s="9" t="n">
        <v>1200</v>
      </c>
      <c r="H84" s="9" t="n">
        <v>12000</v>
      </c>
      <c r="I84" s="6" t="inlineStr">
        <is>
          <t>國際牌星光面板/含拉線開孔</t>
        </is>
      </c>
    </row>
    <row r="85">
      <c r="A85" s="6" t="n"/>
      <c r="B85" s="6" t="inlineStr">
        <is>
          <t>二、水電工程</t>
        </is>
      </c>
      <c r="C85" s="6" t="n">
        <v>5</v>
      </c>
      <c r="D85" s="7" t="inlineStr">
        <is>
          <t>台灣1*1硬式燈條</t>
        </is>
      </c>
      <c r="E85" s="6" t="inlineStr">
        <is>
          <t>米</t>
        </is>
      </c>
      <c r="F85" s="8" t="n">
        <v>9</v>
      </c>
      <c r="G85" s="9" t="n">
        <v>1200</v>
      </c>
      <c r="H85" s="9" t="n"/>
      <c r="I85" s="6" t="inlineStr">
        <is>
          <t>公司贈送，金額為0</t>
        </is>
      </c>
    </row>
    <row r="86">
      <c r="A86" s="6" t="n"/>
      <c r="B86" s="6" t="inlineStr">
        <is>
          <t>二、水電工程</t>
        </is>
      </c>
      <c r="C86" s="6" t="n">
        <v>6</v>
      </c>
      <c r="D86" s="7" t="inlineStr">
        <is>
          <t>變壓器+開關</t>
        </is>
      </c>
      <c r="E86" s="6" t="inlineStr">
        <is>
          <t>組</t>
        </is>
      </c>
      <c r="F86" s="8" t="n">
        <v>3</v>
      </c>
      <c r="G86" s="9" t="n">
        <v>800</v>
      </c>
      <c r="H86" s="9" t="n"/>
      <c r="I86" s="6" t="inlineStr">
        <is>
          <t>公司贈送，金額為0</t>
        </is>
      </c>
    </row>
    <row r="87">
      <c r="A87" s="6" t="n"/>
      <c r="B87" s="6" t="inlineStr">
        <is>
          <t>二、水電工程</t>
        </is>
      </c>
      <c r="C87" s="6" t="n">
        <v>7</v>
      </c>
      <c r="D87" s="7" t="inlineStr">
        <is>
          <t>消防撒水頭修改</t>
        </is>
      </c>
      <c r="E87" s="6" t="inlineStr">
        <is>
          <t>支</t>
        </is>
      </c>
      <c r="F87" s="8" t="n">
        <v>6</v>
      </c>
      <c r="G87" s="9" t="n">
        <v>2000</v>
      </c>
      <c r="H87" s="9" t="n">
        <v>12000</v>
      </c>
      <c r="I87" s="6" t="inlineStr"/>
    </row>
    <row r="88">
      <c r="A88" s="6" t="n"/>
      <c r="B88" s="6" t="inlineStr">
        <is>
          <t>二、水電工程</t>
        </is>
      </c>
      <c r="C88" s="6" t="n">
        <v>8</v>
      </c>
      <c r="D88" s="7" t="inlineStr">
        <is>
          <t>感知器延伸</t>
        </is>
      </c>
      <c r="E88" s="6" t="inlineStr">
        <is>
          <t>處</t>
        </is>
      </c>
      <c r="F88" s="8" t="n">
        <v>4</v>
      </c>
      <c r="G88" s="9" t="n">
        <v>800</v>
      </c>
      <c r="H88" s="9" t="n">
        <v>3200</v>
      </c>
      <c r="I88" s="6" t="inlineStr"/>
    </row>
    <row r="89">
      <c r="A89" s="6" t="n"/>
      <c r="B89" s="6" t="inlineStr">
        <is>
          <t>二、水電工程</t>
        </is>
      </c>
      <c r="C89" s="6" t="n">
        <v>9</v>
      </c>
      <c r="D89" s="7" t="inlineStr">
        <is>
          <t>弱電延伸電視牆開孔</t>
        </is>
      </c>
      <c r="E89" s="6" t="inlineStr"/>
      <c r="F89" s="8" t="n">
        <v>1</v>
      </c>
      <c r="G89" s="9" t="n">
        <v>5000</v>
      </c>
      <c r="H89" s="9" t="n">
        <v>5000</v>
      </c>
      <c r="I89" s="6" t="inlineStr">
        <is>
          <t>若需安裝第4台，請廠商封板前來拉線</t>
        </is>
      </c>
    </row>
    <row r="90">
      <c r="A90" s="10" t="n"/>
      <c r="B90" s="11" t="inlineStr">
        <is>
          <t>水電工程 小計</t>
        </is>
      </c>
      <c r="C90" s="10" t="n"/>
      <c r="D90" s="10" t="n"/>
      <c r="E90" s="10" t="n"/>
      <c r="F90" s="10" t="n"/>
      <c r="G90" s="10" t="n"/>
      <c r="H90" s="12">
        <f>H81+H82+H83+H84+H85+H86+H87+H88+H89</f>
        <v/>
      </c>
      <c r="I90" s="13" t="inlineStr"/>
    </row>
    <row r="91">
      <c r="A91" s="6" t="n"/>
      <c r="B91" s="6" t="inlineStr">
        <is>
          <t>三、油漆工程</t>
        </is>
      </c>
      <c r="C91" s="6" t="n">
        <v>1</v>
      </c>
      <c r="D91" s="7" t="inlineStr">
        <is>
          <t>客廳/主臥/次臥天花板[1底2度漆]</t>
        </is>
      </c>
      <c r="E91" s="6" t="inlineStr">
        <is>
          <t>坪</t>
        </is>
      </c>
      <c r="F91" s="8" t="n">
        <v>15</v>
      </c>
      <c r="G91" s="9" t="n">
        <v>1600</v>
      </c>
      <c r="H91" s="9" t="n">
        <v>24000</v>
      </c>
      <c r="I91" s="6" t="inlineStr">
        <is>
          <t>含批土/依照現牆面漆色/跳色另計</t>
        </is>
      </c>
    </row>
    <row r="92">
      <c r="A92" s="6" t="n"/>
      <c r="B92" s="6" t="inlineStr">
        <is>
          <t>三、油漆工程</t>
        </is>
      </c>
      <c r="C92" s="6" t="n">
        <v>2</v>
      </c>
      <c r="D92" s="7" t="inlineStr">
        <is>
          <t>窗簾盒/包樑[1底2度漆]</t>
        </is>
      </c>
      <c r="E92" s="6" t="inlineStr">
        <is>
          <t>尺</t>
        </is>
      </c>
      <c r="F92" s="8" t="n">
        <v>68</v>
      </c>
      <c r="G92" s="9" t="n">
        <v>350</v>
      </c>
      <c r="H92" s="9" t="n">
        <v>23800</v>
      </c>
      <c r="I92" s="6" t="inlineStr"/>
    </row>
    <row r="93">
      <c r="A93" s="6" t="n"/>
      <c r="B93" s="6" t="inlineStr">
        <is>
          <t>三、油漆工程</t>
        </is>
      </c>
      <c r="C93" s="6" t="n">
        <v>3</v>
      </c>
      <c r="D93" s="7" t="inlineStr">
        <is>
          <t>雙面矽酸鈣隔牆[1底2度漆]</t>
        </is>
      </c>
      <c r="E93" s="6" t="inlineStr">
        <is>
          <t>坪</t>
        </is>
      </c>
      <c r="F93" s="8" t="n">
        <v>13</v>
      </c>
      <c r="G93" s="9" t="n">
        <v>1600</v>
      </c>
      <c r="H93" s="9" t="n">
        <v>20800</v>
      </c>
      <c r="I93" s="6" t="inlineStr"/>
    </row>
    <row r="94">
      <c r="A94" s="6" t="n"/>
      <c r="B94" s="6" t="inlineStr">
        <is>
          <t>三、油漆工程</t>
        </is>
      </c>
      <c r="C94" s="6" t="n">
        <v>4</v>
      </c>
      <c r="D94" s="7" t="inlineStr"/>
      <c r="E94" s="6" t="inlineStr"/>
      <c r="F94" s="8" t="n"/>
      <c r="G94" s="9" t="n"/>
      <c r="H94" s="9" t="n"/>
      <c r="I94" s="6" t="inlineStr"/>
    </row>
    <row r="95">
      <c r="A95" s="6" t="n"/>
      <c r="B95" s="6" t="inlineStr">
        <is>
          <t>三、油漆工程</t>
        </is>
      </c>
      <c r="C95" s="6" t="n">
        <v>5</v>
      </c>
      <c r="D95" s="7" t="inlineStr"/>
      <c r="E95" s="6" t="inlineStr"/>
      <c r="F95" s="8" t="n"/>
      <c r="G95" s="9" t="n"/>
      <c r="H95" s="9" t="n"/>
      <c r="I95" s="6" t="inlineStr"/>
    </row>
    <row r="96">
      <c r="A96" s="10" t="n"/>
      <c r="B96" s="11" t="inlineStr">
        <is>
          <t>油漆工程 小計</t>
        </is>
      </c>
      <c r="C96" s="10" t="n"/>
      <c r="D96" s="10" t="n"/>
      <c r="E96" s="10" t="n"/>
      <c r="F96" s="10" t="n"/>
      <c r="G96" s="10" t="n"/>
      <c r="H96" s="12">
        <f>H91+H92+H93+H94+H95</f>
        <v/>
      </c>
      <c r="I96" s="13" t="inlineStr"/>
    </row>
    <row r="97">
      <c r="A97" s="6" t="n"/>
      <c r="B97" s="6" t="inlineStr">
        <is>
          <t>四、木作工程</t>
        </is>
      </c>
      <c r="C97" s="6" t="n">
        <v>1</v>
      </c>
      <c r="D97" s="7" t="inlineStr">
        <is>
          <t>客廳/主臥/次臥窗簾盒</t>
        </is>
      </c>
      <c r="E97" s="6" t="inlineStr">
        <is>
          <t>尺</t>
        </is>
      </c>
      <c r="F97" s="8" t="n">
        <v>25</v>
      </c>
      <c r="G97" s="9" t="n">
        <v>650</v>
      </c>
      <c r="H97" s="9" t="n">
        <v>16250</v>
      </c>
      <c r="I97" s="6" t="inlineStr">
        <is>
          <t>矽酸鈣封板+木芯板加強</t>
        </is>
      </c>
    </row>
    <row r="98">
      <c r="A98" s="6" t="n"/>
      <c r="B98" s="6" t="inlineStr">
        <is>
          <t>四、木作工程</t>
        </is>
      </c>
      <c r="C98" s="6" t="n">
        <v>2</v>
      </c>
      <c r="D98" s="7" t="inlineStr">
        <is>
          <t>客廳/主臥/次臥冷氣盒</t>
        </is>
      </c>
      <c r="E98" s="6" t="inlineStr">
        <is>
          <t>支</t>
        </is>
      </c>
      <c r="F98" s="8" t="n">
        <v>3</v>
      </c>
      <c r="G98" s="9" t="n">
        <v>3500</v>
      </c>
      <c r="H98" s="9" t="n">
        <v>10500</v>
      </c>
      <c r="I98" s="6" t="inlineStr"/>
    </row>
    <row r="99">
      <c r="A99" s="6" t="n"/>
      <c r="B99" s="6" t="inlineStr">
        <is>
          <t>四、木作工程</t>
        </is>
      </c>
      <c r="C99" s="6" t="n">
        <v>3</v>
      </c>
      <c r="D99" s="7" t="inlineStr">
        <is>
          <t>主次臥包樑/冷媒管</t>
        </is>
      </c>
      <c r="E99" s="6" t="inlineStr">
        <is>
          <t>尺</t>
        </is>
      </c>
      <c r="F99" s="8" t="n">
        <v>40</v>
      </c>
      <c r="G99" s="9" t="n">
        <v>450</v>
      </c>
      <c r="H99" s="9" t="n">
        <v>18000</v>
      </c>
      <c r="I99" s="6" t="inlineStr"/>
    </row>
    <row r="100">
      <c r="A100" s="6" t="n"/>
      <c r="B100" s="6" t="inlineStr">
        <is>
          <t>四、木作工程</t>
        </is>
      </c>
      <c r="C100" s="6" t="n">
        <v>4</v>
      </c>
      <c r="D100" s="7" t="inlineStr">
        <is>
          <t>平釘天花板-一級耐燃</t>
        </is>
      </c>
      <c r="E100" s="6" t="inlineStr">
        <is>
          <t>坪</t>
        </is>
      </c>
      <c r="F100" s="8" t="n">
        <v>15</v>
      </c>
      <c r="G100" s="9" t="n">
        <v>3500</v>
      </c>
      <c r="H100" s="9" t="n">
        <v>52500</v>
      </c>
      <c r="I100" s="6" t="inlineStr">
        <is>
          <t>6mm台灣儷士矽酸鈣板+吋2永新F1角材</t>
        </is>
      </c>
    </row>
    <row r="101">
      <c r="A101" s="6" t="n"/>
      <c r="B101" s="6" t="inlineStr">
        <is>
          <t>四、木作工程</t>
        </is>
      </c>
      <c r="C101" s="6" t="n">
        <v>5</v>
      </c>
      <c r="D101" s="7" t="inlineStr">
        <is>
          <t>雙面隔牆/矽酸鈣封板</t>
        </is>
      </c>
      <c r="E101" s="6" t="inlineStr">
        <is>
          <t>坪</t>
        </is>
      </c>
      <c r="F101" s="8" t="n">
        <v>6</v>
      </c>
      <c r="G101" s="9" t="n">
        <v>3500</v>
      </c>
      <c r="H101" s="9" t="n">
        <v>21000</v>
      </c>
      <c r="I101" s="6" t="inlineStr"/>
    </row>
    <row r="102">
      <c r="A102" s="6" t="n"/>
      <c r="B102" s="6" t="inlineStr">
        <is>
          <t>四、木作工程</t>
        </is>
      </c>
      <c r="C102" s="6" t="n">
        <v>6</v>
      </c>
      <c r="D102" s="7" t="inlineStr">
        <is>
          <t>移動滑門W850*H220[粗板門]</t>
        </is>
      </c>
      <c r="E102" s="6" t="inlineStr">
        <is>
          <t>樘</t>
        </is>
      </c>
      <c r="F102" s="8" t="n">
        <v>2</v>
      </c>
      <c r="G102" s="9" t="n">
        <v>9000</v>
      </c>
      <c r="H102" s="9" t="n">
        <v>18000</v>
      </c>
      <c r="I102" s="6" t="inlineStr">
        <is>
          <t>粗板門即未上漆或貼皮</t>
        </is>
      </c>
    </row>
    <row r="103">
      <c r="A103" s="6" t="n"/>
      <c r="B103" s="6" t="inlineStr">
        <is>
          <t>四、木作工程</t>
        </is>
      </c>
      <c r="C103" s="6" t="n">
        <v>7</v>
      </c>
      <c r="D103" s="7" t="inlineStr">
        <is>
          <t>台達25mm隔音玻纖棉</t>
        </is>
      </c>
      <c r="E103" s="6" t="inlineStr">
        <is>
          <t>尺</t>
        </is>
      </c>
      <c r="F103" s="8" t="n">
        <v>25</v>
      </c>
      <c r="G103" s="9" t="n">
        <v>1200</v>
      </c>
      <c r="H103" s="9" t="n">
        <v>30000</v>
      </c>
      <c r="I103" s="6" t="inlineStr"/>
    </row>
    <row r="104">
      <c r="A104" s="10" t="n"/>
      <c r="B104" s="11" t="inlineStr">
        <is>
          <t>木作工程 小計</t>
        </is>
      </c>
      <c r="C104" s="10" t="n"/>
      <c r="D104" s="10" t="n"/>
      <c r="E104" s="10" t="n"/>
      <c r="F104" s="10" t="n"/>
      <c r="G104" s="10" t="n"/>
      <c r="H104" s="12">
        <f>H97+H98+H99+H100+H101+H102+H103</f>
        <v/>
      </c>
      <c r="I104" s="13" t="inlineStr"/>
    </row>
    <row r="105">
      <c r="A105" s="6" t="n"/>
      <c r="B105" s="6" t="inlineStr">
        <is>
          <t>五、系統櫃工程</t>
        </is>
      </c>
      <c r="C105" s="6" t="n">
        <v>1</v>
      </c>
      <c r="D105" s="7" t="inlineStr">
        <is>
          <t>玄關電箱收納櫃W600*D600*H2400</t>
        </is>
      </c>
      <c r="E105" s="6" t="inlineStr">
        <is>
          <t>尺</t>
        </is>
      </c>
      <c r="F105" s="8" t="n">
        <v>2</v>
      </c>
      <c r="G105" s="9" t="n">
        <v>7500</v>
      </c>
      <c r="H105" s="9" t="n">
        <v>15000</v>
      </c>
      <c r="I105" s="6" t="inlineStr">
        <is>
          <t>歐盟E0-E1/V313防潮/防蟑</t>
        </is>
      </c>
    </row>
    <row r="106">
      <c r="A106" s="6" t="n"/>
      <c r="B106" s="6" t="inlineStr">
        <is>
          <t>五、系統櫃工程</t>
        </is>
      </c>
      <c r="C106" s="6" t="n">
        <v>2</v>
      </c>
      <c r="D106" s="7" t="inlineStr">
        <is>
          <t>餐廳上櫃W1600*D350*H850</t>
        </is>
      </c>
      <c r="E106" s="6" t="inlineStr">
        <is>
          <t>尺</t>
        </is>
      </c>
      <c r="F106" s="8" t="n">
        <v>5.3</v>
      </c>
      <c r="G106" s="9" t="n">
        <v>4500</v>
      </c>
      <c r="H106" s="9" t="n">
        <v>23850</v>
      </c>
      <c r="I106" s="6" t="inlineStr">
        <is>
          <t>鉸鍊:義大利RAM6分全緩衝型</t>
        </is>
      </c>
    </row>
    <row r="107">
      <c r="A107" s="6" t="n"/>
      <c r="B107" s="6" t="inlineStr">
        <is>
          <t>五、系統櫃工程</t>
        </is>
      </c>
      <c r="C107" s="6" t="n">
        <v>3</v>
      </c>
      <c r="D107" s="7" t="inlineStr">
        <is>
          <t>餐廳下櫃W1600*D450*H950</t>
        </is>
      </c>
      <c r="E107" s="6" t="inlineStr">
        <is>
          <t>尺</t>
        </is>
      </c>
      <c r="F107" s="8" t="n">
        <v>5.3</v>
      </c>
      <c r="G107" s="9" t="n">
        <v>4500</v>
      </c>
      <c r="H107" s="9" t="n">
        <v>23850</v>
      </c>
      <c r="I107" s="6" t="inlineStr">
        <is>
          <t>滑軌:川湖三節緩衝型</t>
        </is>
      </c>
    </row>
    <row r="108">
      <c r="A108" s="6" t="n"/>
      <c r="B108" s="6" t="inlineStr">
        <is>
          <t>五、系統櫃工程</t>
        </is>
      </c>
      <c r="C108" s="6" t="n">
        <v>4</v>
      </c>
      <c r="D108" s="7" t="inlineStr">
        <is>
          <t>客廳展示櫃W1200*D450*H2400</t>
        </is>
      </c>
      <c r="E108" s="6" t="inlineStr">
        <is>
          <t>尺</t>
        </is>
      </c>
      <c r="F108" s="8" t="n">
        <v>3</v>
      </c>
      <c r="G108" s="9" t="n">
        <v>7500</v>
      </c>
      <c r="H108" s="9" t="n">
        <v>22500</v>
      </c>
      <c r="I108" s="6" t="inlineStr"/>
    </row>
    <row r="109">
      <c r="A109" s="6" t="n"/>
      <c r="B109" s="6" t="inlineStr">
        <is>
          <t>五、系統櫃工程</t>
        </is>
      </c>
      <c r="C109" s="6" t="n">
        <v>5</v>
      </c>
      <c r="D109" s="7" t="inlineStr">
        <is>
          <t>廚房冰箱櫃W900*D600*H2100</t>
        </is>
      </c>
      <c r="E109" s="6" t="inlineStr">
        <is>
          <t>尺</t>
        </is>
      </c>
      <c r="F109" s="8" t="n">
        <v>3</v>
      </c>
      <c r="G109" s="9" t="n"/>
      <c r="H109" s="9" t="n"/>
      <c r="I109" s="6" t="inlineStr">
        <is>
          <t>單價未定，金額為0</t>
        </is>
      </c>
    </row>
    <row r="110">
      <c r="A110" s="6" t="n"/>
      <c r="B110" s="6" t="inlineStr">
        <is>
          <t>五、系統櫃工程</t>
        </is>
      </c>
      <c r="C110" s="6" t="n">
        <v>6</v>
      </c>
      <c r="D110" s="7" t="inlineStr">
        <is>
          <t>客廳落地窗櫃W700*D300*H2100</t>
        </is>
      </c>
      <c r="E110" s="6" t="inlineStr">
        <is>
          <t>尺</t>
        </is>
      </c>
      <c r="F110" s="8" t="n">
        <v>2.5</v>
      </c>
      <c r="G110" s="9" t="n">
        <v>7000</v>
      </c>
      <c r="H110" s="9" t="n">
        <v>17500</v>
      </c>
      <c r="I110" s="6" t="inlineStr"/>
    </row>
    <row r="111">
      <c r="A111" s="6" t="n"/>
      <c r="B111" s="6" t="inlineStr">
        <is>
          <t>五、系統櫃工程</t>
        </is>
      </c>
      <c r="C111" s="6" t="n">
        <v>7</v>
      </c>
      <c r="D111" s="7" t="inlineStr">
        <is>
          <t>主臥衣櫃W2600*D600*H2400</t>
        </is>
      </c>
      <c r="E111" s="6" t="inlineStr">
        <is>
          <t>尺</t>
        </is>
      </c>
      <c r="F111" s="8" t="n">
        <v>8.6</v>
      </c>
      <c r="G111" s="9" t="n">
        <v>7500</v>
      </c>
      <c r="H111" s="9" t="n">
        <v>64500</v>
      </c>
      <c r="I111" s="6" t="inlineStr"/>
    </row>
    <row r="112">
      <c r="A112" s="6" t="n"/>
      <c r="B112" s="6" t="inlineStr">
        <is>
          <t>五、系統櫃工程</t>
        </is>
      </c>
      <c r="C112" s="6" t="n">
        <v>8</v>
      </c>
      <c r="D112" s="7" t="inlineStr">
        <is>
          <t>主臥書桌W600*D450*H750</t>
        </is>
      </c>
      <c r="E112" s="6" t="inlineStr">
        <is>
          <t>尺</t>
        </is>
      </c>
      <c r="F112" s="8" t="n">
        <v>2</v>
      </c>
      <c r="G112" s="9" t="n">
        <v>3500</v>
      </c>
      <c r="H112" s="9" t="n">
        <v>7000</v>
      </c>
      <c r="I112" s="6" t="inlineStr"/>
    </row>
    <row r="113">
      <c r="A113" s="6" t="n"/>
      <c r="B113" s="6" t="inlineStr">
        <is>
          <t>五、系統櫃工程</t>
        </is>
      </c>
      <c r="C113" s="6" t="n">
        <v>9</v>
      </c>
      <c r="D113" s="7" t="inlineStr">
        <is>
          <t>次臥衣櫃W1400*D600*H2400</t>
        </is>
      </c>
      <c r="E113" s="6" t="inlineStr">
        <is>
          <t>尺</t>
        </is>
      </c>
      <c r="F113" s="8" t="n">
        <v>4.7</v>
      </c>
      <c r="G113" s="9" t="n">
        <v>7500</v>
      </c>
      <c r="H113" s="9" t="n">
        <v>35250</v>
      </c>
      <c r="I113" s="6" t="inlineStr"/>
    </row>
    <row r="114">
      <c r="A114" s="6" t="n"/>
      <c r="B114" s="6" t="inlineStr">
        <is>
          <t>五、系統櫃工程</t>
        </is>
      </c>
      <c r="C114" s="6" t="n">
        <v>10</v>
      </c>
      <c r="D114" s="7" t="inlineStr">
        <is>
          <t>細框玻璃門片</t>
        </is>
      </c>
      <c r="E114" s="6" t="inlineStr">
        <is>
          <t>才</t>
        </is>
      </c>
      <c r="F114" s="8" t="n"/>
      <c r="G114" s="9" t="n"/>
      <c r="H114" s="9" t="n"/>
      <c r="I114" s="6" t="inlineStr">
        <is>
          <t>公司贈送[12才*650元=7800元]，金額為0</t>
        </is>
      </c>
    </row>
    <row r="115">
      <c r="A115" s="6" t="n"/>
      <c r="B115" s="6" t="inlineStr">
        <is>
          <t>五、系統櫃工程</t>
        </is>
      </c>
      <c r="C115" s="6" t="n">
        <v>11</v>
      </c>
      <c r="D115" s="7" t="inlineStr">
        <is>
          <t>電視牆造型</t>
        </is>
      </c>
      <c r="E115" s="6" t="inlineStr"/>
      <c r="F115" s="8" t="n"/>
      <c r="G115" s="9" t="n"/>
      <c r="H115" s="9" t="n"/>
      <c r="I115" s="6" t="inlineStr">
        <is>
          <t>此項另計，金額為0</t>
        </is>
      </c>
    </row>
    <row r="116">
      <c r="A116" s="6" t="n"/>
      <c r="B116" s="6" t="inlineStr">
        <is>
          <t>五、系統櫃工程</t>
        </is>
      </c>
      <c r="C116" s="6" t="n">
        <v>12</v>
      </c>
      <c r="D116" s="7" t="inlineStr"/>
      <c r="E116" s="6" t="inlineStr"/>
      <c r="F116" s="8" t="n"/>
      <c r="G116" s="9" t="n"/>
      <c r="H116" s="9" t="n"/>
      <c r="I116" s="6" t="inlineStr"/>
    </row>
    <row r="117">
      <c r="A117" s="10" t="n"/>
      <c r="B117" s="11" t="inlineStr">
        <is>
          <t>系統櫃工程 小計</t>
        </is>
      </c>
      <c r="C117" s="10" t="n"/>
      <c r="D117" s="10" t="n"/>
      <c r="E117" s="10" t="n"/>
      <c r="F117" s="10" t="n"/>
      <c r="G117" s="10" t="n"/>
      <c r="H117" s="12">
        <f>H105+H106+H107+H108+H109+H110+H111+H112+H113+H114+H115+H116</f>
        <v/>
      </c>
      <c r="I117" s="13" t="inlineStr"/>
    </row>
    <row r="118">
      <c r="A118" s="6" t="n"/>
      <c r="B118" s="6" t="inlineStr">
        <is>
          <t>六、其他工程</t>
        </is>
      </c>
      <c r="C118" s="6" t="n">
        <v>1</v>
      </c>
      <c r="D118" s="7" t="inlineStr">
        <is>
          <t>工程管理/製圖/設計/丈量</t>
        </is>
      </c>
      <c r="E118" s="6" t="inlineStr">
        <is>
          <t>式</t>
        </is>
      </c>
      <c r="F118" s="8" t="n"/>
      <c r="G118" s="9" t="n"/>
      <c r="H118" s="9" t="n"/>
      <c r="I118" s="6" t="inlineStr"/>
    </row>
    <row r="119">
      <c r="A119" s="6" t="n"/>
      <c r="B119" s="6" t="inlineStr">
        <is>
          <t>六、其他工程</t>
        </is>
      </c>
      <c r="C119" s="6" t="n">
        <v>2</v>
      </c>
      <c r="D119" s="7" t="inlineStr">
        <is>
          <t>櫃體至頂埔板</t>
        </is>
      </c>
      <c r="E119" s="6" t="inlineStr">
        <is>
          <t>才</t>
        </is>
      </c>
      <c r="F119" s="8" t="n">
        <v>22</v>
      </c>
      <c r="G119" s="9" t="n">
        <v>650</v>
      </c>
      <c r="H119" s="9" t="n">
        <v>14300</v>
      </c>
      <c r="I119" s="6" t="inlineStr"/>
    </row>
    <row r="120">
      <c r="A120" s="10" t="n"/>
      <c r="B120" s="11" t="inlineStr">
        <is>
          <t>其他工程 小計</t>
        </is>
      </c>
      <c r="C120" s="10" t="n"/>
      <c r="D120" s="10" t="n"/>
      <c r="E120" s="10" t="n"/>
      <c r="F120" s="10" t="n"/>
      <c r="G120" s="10" t="n"/>
      <c r="H120" s="12">
        <f>H118+H119</f>
        <v/>
      </c>
      <c r="I120" s="13" t="inlineStr"/>
    </row>
    <row r="122">
      <c r="B122" s="18" t="inlineStr">
        <is>
          <t>以下為原檔「七、總結」財務彙總（各分類：水電60,700／油漆68,600／木工166,250／系統櫃209,450）</t>
        </is>
      </c>
    </row>
    <row r="123">
      <c r="A123" s="5" t="n"/>
      <c r="B123" s="14" t="inlineStr">
        <is>
          <t>合計金額（七大分類小計加總）</t>
        </is>
      </c>
      <c r="C123" s="5" t="n"/>
      <c r="D123" s="5" t="n"/>
      <c r="E123" s="5" t="n"/>
      <c r="F123" s="5" t="n"/>
      <c r="G123" s="5" t="n"/>
      <c r="H123" s="15">
        <f>H80+H90+H96+H104+H117+H120</f>
        <v/>
      </c>
      <c r="I123" s="16" t="inlineStr">
        <is>
          <t>各小計相加，含保護+清潔24,000</t>
        </is>
      </c>
    </row>
    <row r="124">
      <c r="A124" s="5" t="n"/>
      <c r="B124" s="14" t="inlineStr">
        <is>
          <t>含稅總額</t>
        </is>
      </c>
      <c r="C124" s="5" t="n"/>
      <c r="D124" s="5" t="n"/>
      <c r="E124" s="5" t="n"/>
      <c r="F124" s="5" t="n"/>
      <c r="G124" s="5" t="n"/>
      <c r="H124" s="15">
        <f>ROUND(H123*1.05,0)</f>
        <v/>
      </c>
      <c r="I124" s="16" t="inlineStr">
        <is>
          <t>＝合計金額 × 1.05（稅金5%）</t>
        </is>
      </c>
    </row>
    <row r="125">
      <c r="A125" s="5" t="n"/>
      <c r="B125" s="14" t="inlineStr">
        <is>
          <t>扣除油漆（協議扣除項）</t>
        </is>
      </c>
      <c r="C125" s="5" t="n"/>
      <c r="D125" s="5" t="n"/>
      <c r="E125" s="5" t="n"/>
      <c r="F125" s="5" t="n"/>
      <c r="G125" s="5" t="n"/>
      <c r="H125" s="21" t="n">
        <v>92610</v>
      </c>
      <c r="I125" s="16" t="inlineStr">
        <is>
          <t>業主與廠商協議之扣減金額</t>
        </is>
      </c>
    </row>
    <row r="126">
      <c r="A126" s="5" t="n"/>
      <c r="B126" s="14" t="inlineStr">
        <is>
          <t>總計金額（含稅）</t>
        </is>
      </c>
      <c r="C126" s="5" t="n"/>
      <c r="D126" s="5" t="n"/>
      <c r="E126" s="5" t="n"/>
      <c r="F126" s="5" t="n"/>
      <c r="G126" s="5" t="n"/>
      <c r="H126" s="17">
        <f>H124-H125</f>
        <v/>
      </c>
      <c r="I126" s="16" t="inlineStr">
        <is>
          <t>＝含稅總額 － 扣除油漆</t>
        </is>
      </c>
    </row>
    <row r="127">
      <c r="A127" s="5" t="n"/>
      <c r="B127" s="14" t="inlineStr">
        <is>
          <t>簽約總價</t>
        </is>
      </c>
      <c r="C127" s="5" t="n"/>
      <c r="D127" s="5" t="n"/>
      <c r="E127" s="5" t="n"/>
      <c r="F127" s="5" t="n"/>
      <c r="G127" s="5" t="n"/>
      <c r="H127" s="20" t="n">
        <v>490000</v>
      </c>
      <c r="I127" s="16" t="inlineStr">
        <is>
          <t>原檔「七、總結」列示之簽約總價（協議金額）</t>
        </is>
      </c>
    </row>
    <row r="130">
      <c r="A130" s="22" t="inlineStr">
        <is>
          <t>註：本表由 4 份原始估價 Excel 檔案彙整而成；區塊1-3 為同一份「藝宅空間設計」估價單體系（115/08/30），區塊4為另一份獨立「工程預算表」（115/09/03）。原始金額欄留白之項目，於原檔即未列入小計／總計（多為贈品、未定價或另計項目），本表據原檔金額如實轉錄，未自行推算。</t>
        </is>
      </c>
    </row>
  </sheetData>
  <mergeCells count="37">
    <mergeCell ref="B11:D11"/>
    <mergeCell ref="B120:D120"/>
    <mergeCell ref="B14:D14"/>
    <mergeCell ref="B117:D117"/>
    <mergeCell ref="A74:I74"/>
    <mergeCell ref="B34:D34"/>
    <mergeCell ref="B10:D10"/>
    <mergeCell ref="A2:I2"/>
    <mergeCell ref="B37:D37"/>
    <mergeCell ref="A5:I5"/>
    <mergeCell ref="B49:D49"/>
    <mergeCell ref="B127:D127"/>
    <mergeCell ref="B68:D68"/>
    <mergeCell ref="B55:D55"/>
    <mergeCell ref="A52:I52"/>
    <mergeCell ref="B124:D124"/>
    <mergeCell ref="B104:D104"/>
    <mergeCell ref="B80:D80"/>
    <mergeCell ref="B45:D45"/>
    <mergeCell ref="B63:D63"/>
    <mergeCell ref="B123:D123"/>
    <mergeCell ref="B50:D50"/>
    <mergeCell ref="B126:D126"/>
    <mergeCell ref="A130:I130"/>
    <mergeCell ref="B125:D125"/>
    <mergeCell ref="B72:D72"/>
    <mergeCell ref="B90:D90"/>
    <mergeCell ref="B31:D31"/>
    <mergeCell ref="B122:D122"/>
    <mergeCell ref="B22:D22"/>
    <mergeCell ref="B71:D71"/>
    <mergeCell ref="A1:I1"/>
    <mergeCell ref="B96:D96"/>
    <mergeCell ref="B70:D70"/>
    <mergeCell ref="B12:D12"/>
    <mergeCell ref="B48:D48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2026-09-16T14:19:25Z</dcterms:created>
  <dcterms:modified xsi:type="dcterms:W3CDTF">2026-09-16T14:19:26Z</dcterms:modified>
</cp:coreProperties>
</file>